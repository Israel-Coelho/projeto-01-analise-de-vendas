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jeto-01-analise-de-vendas\dados\"/>
    </mc:Choice>
  </mc:AlternateContent>
  <xr:revisionPtr revIDLastSave="0" documentId="13_ncr:1_{D037C1C5-BEDC-475C-85D0-8BA6EE1CEFE2}" xr6:coauthVersionLast="47" xr6:coauthVersionMax="47" xr10:uidLastSave="{00000000-0000-0000-0000-000000000000}"/>
  <bookViews>
    <workbookView xWindow="-24120" yWindow="-90" windowWidth="24240" windowHeight="13020" activeTab="3" xr2:uid="{34806B38-9A17-4D35-8428-C78CD03B19B1}"/>
  </bookViews>
  <sheets>
    <sheet name="Dados_brutos" sheetId="1" r:id="rId1"/>
    <sheet name="Dados_limpos" sheetId="3" r:id="rId2"/>
    <sheet name="Analise" sheetId="5" r:id="rId3"/>
    <sheet name="Relatorio" sheetId="6" r:id="rId4"/>
  </sheets>
  <definedNames>
    <definedName name="_xlnm._FilterDatabase" localSheetId="1" hidden="1">Dados_limpos!$A$1:$G$22</definedName>
    <definedName name="_xlnm.Print_Area" localSheetId="3">Relatorio!$A$1:$H$89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G3" i="3"/>
  <c r="G15" i="3"/>
  <c r="G5" i="3"/>
  <c r="G14" i="3"/>
  <c r="G7" i="3"/>
  <c r="G8" i="3"/>
  <c r="G9" i="3"/>
  <c r="G10" i="3"/>
  <c r="G11" i="3"/>
  <c r="G12" i="3"/>
  <c r="G13" i="3"/>
  <c r="G6" i="3"/>
  <c r="G21" i="3"/>
  <c r="G16" i="3"/>
  <c r="G4" i="3"/>
  <c r="G18" i="3"/>
  <c r="G19" i="3"/>
  <c r="G20" i="3"/>
  <c r="G17" i="3"/>
  <c r="G2" i="3"/>
  <c r="G22" i="3" l="1"/>
</calcChain>
</file>

<file path=xl/sharedStrings.xml><?xml version="1.0" encoding="utf-8"?>
<sst xmlns="http://schemas.openxmlformats.org/spreadsheetml/2006/main" count="187" uniqueCount="43">
  <si>
    <t>Data</t>
  </si>
  <si>
    <t>Pedido_ID</t>
  </si>
  <si>
    <t>Produto</t>
  </si>
  <si>
    <t>Categoria</t>
  </si>
  <si>
    <t>Regiao</t>
  </si>
  <si>
    <t>Quantidade</t>
  </si>
  <si>
    <t>Preco_Unitario</t>
  </si>
  <si>
    <t>Mouse Gamer</t>
  </si>
  <si>
    <t>Periféricos</t>
  </si>
  <si>
    <t>Sudeste</t>
  </si>
  <si>
    <t>Teclado Mecânico</t>
  </si>
  <si>
    <t>Sul</t>
  </si>
  <si>
    <t>Notebook</t>
  </si>
  <si>
    <t>Computadores</t>
  </si>
  <si>
    <t>Cadeira Office</t>
  </si>
  <si>
    <t>Móveis</t>
  </si>
  <si>
    <t>Nordeste</t>
  </si>
  <si>
    <t>Monitor 24</t>
  </si>
  <si>
    <t>Monitores</t>
  </si>
  <si>
    <t>Centro-Oeste</t>
  </si>
  <si>
    <t>Headset</t>
  </si>
  <si>
    <t>Áudio</t>
  </si>
  <si>
    <t>Norte</t>
  </si>
  <si>
    <t>Webcam</t>
  </si>
  <si>
    <t>Faturamento</t>
  </si>
  <si>
    <t>Rótulos de Linha</t>
  </si>
  <si>
    <t>Total Geral</t>
  </si>
  <si>
    <t>Soma de Faturamento</t>
  </si>
  <si>
    <t>Soma de Quantidade</t>
  </si>
  <si>
    <t>Mês</t>
  </si>
  <si>
    <t>2025-01</t>
  </si>
  <si>
    <t>2025-02</t>
  </si>
  <si>
    <t>2025-03</t>
  </si>
  <si>
    <t>2025-04</t>
  </si>
  <si>
    <t>Quantidade de itens vendidos</t>
  </si>
  <si>
    <t>Categoria de itens vendidos</t>
  </si>
  <si>
    <t>Vendas por região</t>
  </si>
  <si>
    <t>Venda por mês</t>
  </si>
  <si>
    <t>Venda de cada item</t>
  </si>
  <si>
    <t>A categoria Computadores concentrou a maior parte da receita, com desempenho muito acima das demais categorias.</t>
  </si>
  <si>
    <t>O Sudeste liderou o faturamento no período, sugerindo maior força de vendas nessa região.</t>
  </si>
  <si>
    <t>O Mouse Gamer teve o maior volume de unidades vendidas, apesar de não liderar o faturamento.</t>
  </si>
  <si>
    <t>O Notebook foi o produto que mais gerou faturamento, reforçando o impacto de itens de alto valor unitário na receita total da loja.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</si>
</sst>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D4D4D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[vendas_tratados.xlsx]Analise!Tabela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Analise!$H$3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Analise!$G$4:$G$9</c:f>
              <c:strCache>
                <c:ptCount val="5"/>
                <c:pt idx="0">
                  <c:v>Computadores</c:v>
                </c:pt>
                <c:pt idx="1">
                  <c:v>Monitores</c:v>
                </c:pt>
                <c:pt idx="2">
                  <c:v>Móveis</c:v>
                </c:pt>
                <c:pt idx="3">
                  <c:v>Periféricos</c:v>
                </c:pt>
                <c:pt idx="4">
                  <c:v>Áudio</c:v>
                </c:pt>
              </c:strCache>
            </c:strRef>
          </c:cat>
          <c:val>
            <c:numRef>
              <c:f>Analise!$H$4:$H$9</c:f>
              <c:numCache>
                <c:formatCode>_-[$R$-416]\ * #,##0.00_-;\-[$R$-416]\ * #,##0.00_-;_-[$R$-416]\ * "-"??_-;_-@_-</c:formatCode>
                <c:ptCount val="5"/>
                <c:pt idx="0">
                  <c:v>14050</c:v>
                </c:pt>
                <c:pt idx="1">
                  <c:v>4000</c:v>
                </c:pt>
                <c:pt idx="2">
                  <c:v>2750</c:v>
                </c:pt>
                <c:pt idx="3">
                  <c:v>2250</c:v>
                </c:pt>
                <c:pt idx="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C-4068-A95D-C569A2F46A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345735552"/>
        <c:axId val="1345736512"/>
      </c:barChart>
      <c:catAx>
        <c:axId val="13457355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5736512"/>
        <c:crosses val="autoZero"/>
        <c:auto val="1"/>
        <c:lblAlgn val="ctr"/>
        <c:lblOffset val="100"/>
        <c:noMultiLvlLbl val="0"/>
      </c:catAx>
      <c:valAx>
        <c:axId val="13457365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34573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[vendas_tratados.xlsx]Analise!Tabela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 de itens vendidos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Analise!$A$4:$A$11</c:f>
              <c:strCache>
                <c:ptCount val="7"/>
                <c:pt idx="0">
                  <c:v>Mouse Gamer</c:v>
                </c:pt>
                <c:pt idx="1">
                  <c:v>Headset</c:v>
                </c:pt>
                <c:pt idx="2">
                  <c:v>Monitor 24</c:v>
                </c:pt>
                <c:pt idx="3">
                  <c:v>Notebook</c:v>
                </c:pt>
                <c:pt idx="4">
                  <c:v>Teclado Mecânico</c:v>
                </c:pt>
                <c:pt idx="5">
                  <c:v>Webcam</c:v>
                </c:pt>
                <c:pt idx="6">
                  <c:v>Cadeira Office</c:v>
                </c:pt>
              </c:strCache>
            </c:strRef>
          </c:cat>
          <c:val>
            <c:numRef>
              <c:f>Analise!$B$4:$B$11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5-4679-B9C7-8C5067315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315311264"/>
        <c:axId val="1315333824"/>
      </c:barChart>
      <c:catAx>
        <c:axId val="13153112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5333824"/>
        <c:crosses val="autoZero"/>
        <c:auto val="1"/>
        <c:lblAlgn val="ctr"/>
        <c:lblOffset val="100"/>
        <c:noMultiLvlLbl val="0"/>
      </c:catAx>
      <c:valAx>
        <c:axId val="131533382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531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[vendas_tratados.xlsx]Analise!Tabela dinâmica1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de cada item vendido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Analise!$M$3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Analise!$L$4:$L$11</c:f>
              <c:strCache>
                <c:ptCount val="7"/>
                <c:pt idx="0">
                  <c:v>Notebook</c:v>
                </c:pt>
                <c:pt idx="1">
                  <c:v>Monitor 24</c:v>
                </c:pt>
                <c:pt idx="2">
                  <c:v>Cadeira Office</c:v>
                </c:pt>
                <c:pt idx="3">
                  <c:v>Headset</c:v>
                </c:pt>
                <c:pt idx="4">
                  <c:v>Mouse Gamer</c:v>
                </c:pt>
                <c:pt idx="5">
                  <c:v>Teclado Mecânico</c:v>
                </c:pt>
                <c:pt idx="6">
                  <c:v>Webcam</c:v>
                </c:pt>
              </c:strCache>
            </c:strRef>
          </c:cat>
          <c:val>
            <c:numRef>
              <c:f>Analise!$M$4:$M$11</c:f>
              <c:numCache>
                <c:formatCode>_-[$R$-416]\ * #,##0.00_-;\-[$R$-416]\ * #,##0.00_-;_-[$R$-416]\ * "-"??_-;_-@_-</c:formatCode>
                <c:ptCount val="7"/>
                <c:pt idx="0">
                  <c:v>14050</c:v>
                </c:pt>
                <c:pt idx="1">
                  <c:v>4000</c:v>
                </c:pt>
                <c:pt idx="2">
                  <c:v>2750</c:v>
                </c:pt>
                <c:pt idx="3">
                  <c:v>1080</c:v>
                </c:pt>
                <c:pt idx="4">
                  <c:v>840</c:v>
                </c:pt>
                <c:pt idx="5">
                  <c:v>750</c:v>
                </c:pt>
                <c:pt idx="6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7-460E-82C2-8BE20436CE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315331424"/>
        <c:axId val="1315334304"/>
      </c:barChart>
      <c:catAx>
        <c:axId val="1315331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5334304"/>
        <c:crosses val="autoZero"/>
        <c:auto val="1"/>
        <c:lblAlgn val="ctr"/>
        <c:lblOffset val="100"/>
        <c:noMultiLvlLbl val="0"/>
      </c:catAx>
      <c:valAx>
        <c:axId val="131533430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31533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[vendas_tratados.xlsx]Analise!Tabela dinâmica4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Analise!$B$38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Analise!$A$39:$A$44</c:f>
              <c:strCache>
                <c:ptCount val="5"/>
                <c:pt idx="0">
                  <c:v>Sudeste</c:v>
                </c:pt>
                <c:pt idx="1">
                  <c:v>Norte</c:v>
                </c:pt>
                <c:pt idx="2">
                  <c:v>Sul</c:v>
                </c:pt>
                <c:pt idx="3">
                  <c:v>Nordeste</c:v>
                </c:pt>
                <c:pt idx="4">
                  <c:v>Centro-Oeste</c:v>
                </c:pt>
              </c:strCache>
            </c:strRef>
          </c:cat>
          <c:val>
            <c:numRef>
              <c:f>Analise!$B$39:$B$44</c:f>
              <c:numCache>
                <c:formatCode>_-[$R$-416]\ * #,##0.00_-;\-[$R$-416]\ * #,##0.00_-;_-[$R$-416]\ * "-"??_-;_-@_-</c:formatCode>
                <c:ptCount val="5"/>
                <c:pt idx="0">
                  <c:v>14090</c:v>
                </c:pt>
                <c:pt idx="1">
                  <c:v>3620</c:v>
                </c:pt>
                <c:pt idx="2">
                  <c:v>3290</c:v>
                </c:pt>
                <c:pt idx="3">
                  <c:v>2060</c:v>
                </c:pt>
                <c:pt idx="4">
                  <c:v>1070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C-408E-87EC-9C123D4991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345699072"/>
        <c:axId val="1345700032"/>
      </c:barChart>
      <c:catAx>
        <c:axId val="1345699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5700032"/>
        <c:crosses val="autoZero"/>
        <c:auto val="1"/>
        <c:lblAlgn val="ctr"/>
        <c:lblOffset val="100"/>
        <c:noMultiLvlLbl val="0"/>
      </c:catAx>
      <c:valAx>
        <c:axId val="13457000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34569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[vendas_tratados.xlsx]Analise!Tabela dinâmica1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de cada item vendido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Analise!$M$3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Analise!$L$4:$L$11</c:f>
              <c:strCache>
                <c:ptCount val="7"/>
                <c:pt idx="0">
                  <c:v>Notebook</c:v>
                </c:pt>
                <c:pt idx="1">
                  <c:v>Monitor 24</c:v>
                </c:pt>
                <c:pt idx="2">
                  <c:v>Cadeira Office</c:v>
                </c:pt>
                <c:pt idx="3">
                  <c:v>Headset</c:v>
                </c:pt>
                <c:pt idx="4">
                  <c:v>Mouse Gamer</c:v>
                </c:pt>
                <c:pt idx="5">
                  <c:v>Teclado Mecânico</c:v>
                </c:pt>
                <c:pt idx="6">
                  <c:v>Webcam</c:v>
                </c:pt>
              </c:strCache>
            </c:strRef>
          </c:cat>
          <c:val>
            <c:numRef>
              <c:f>Analise!$M$4:$M$11</c:f>
              <c:numCache>
                <c:formatCode>_-[$R$-416]\ * #,##0.00_-;\-[$R$-416]\ * #,##0.00_-;_-[$R$-416]\ * "-"??_-;_-@_-</c:formatCode>
                <c:ptCount val="7"/>
                <c:pt idx="0">
                  <c:v>14050</c:v>
                </c:pt>
                <c:pt idx="1">
                  <c:v>4000</c:v>
                </c:pt>
                <c:pt idx="2">
                  <c:v>2750</c:v>
                </c:pt>
                <c:pt idx="3">
                  <c:v>1080</c:v>
                </c:pt>
                <c:pt idx="4">
                  <c:v>840</c:v>
                </c:pt>
                <c:pt idx="5">
                  <c:v>750</c:v>
                </c:pt>
                <c:pt idx="6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9-4EB2-90D8-F0533CE5B2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315331424"/>
        <c:axId val="1315334304"/>
      </c:barChart>
      <c:catAx>
        <c:axId val="1315331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5334304"/>
        <c:crosses val="autoZero"/>
        <c:auto val="1"/>
        <c:lblAlgn val="ctr"/>
        <c:lblOffset val="100"/>
        <c:noMultiLvlLbl val="0"/>
      </c:catAx>
      <c:valAx>
        <c:axId val="131533430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31533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276231</xdr:colOff>
      <xdr:row>11</xdr:row>
      <xdr:rowOff>93662</xdr:rowOff>
    </xdr:from>
    <xdr:to>
      <xdr:col>9</xdr:col>
      <xdr:colOff>381008</xdr:colOff>
      <xdr:row>31</xdr:row>
      <xdr:rowOff>95251</xdr:rowOff>
    </xdr:to>
    <xdr:graphicFrame macro="">
      <xdr:nvGraphicFramePr>
        <xdr:cNvPr id="2" name="Gráfico 1" descr="A categoria Computadores concentrou a maior parte da receita, com desempenho muito acima das demais categorias.">
          <a:extLst>
            <a:ext uri="{FF2B5EF4-FFF2-40B4-BE49-F238E27FC236}">
              <a16:creationId xmlns:a16="http://schemas.microsoft.com/office/drawing/2014/main" id="{A6A087C3-74E6-DEE5-EB95-7432C62DB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6463</xdr:rowOff>
    </xdr:from>
    <xdr:to>
      <xdr:col>4</xdr:col>
      <xdr:colOff>156481</xdr:colOff>
      <xdr:row>30</xdr:row>
      <xdr:rowOff>42862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9457FA-2D8F-2131-7E73-BF8F0FB3B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444501</xdr:colOff>
      <xdr:row>12</xdr:row>
      <xdr:rowOff>95250</xdr:rowOff>
    </xdr:from>
    <xdr:to>
      <xdr:col>13</xdr:col>
      <xdr:colOff>973667</xdr:colOff>
      <xdr:row>28</xdr:row>
      <xdr:rowOff>127000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64AB73F-5136-46CA-9007-1C941D076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3</xdr:col>
      <xdr:colOff>113998</xdr:colOff>
      <xdr:row>63</xdr:row>
      <xdr:rowOff>1967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959CFFF-8952-47C9-80A0-A394DD957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349250</xdr:colOff>
      <xdr:row>1</xdr:row>
      <xdr:rowOff>63499</xdr:rowOff>
    </xdr:from>
    <xdr:to>
      <xdr:col>4</xdr:col>
      <xdr:colOff>1238250</xdr:colOff>
      <xdr:row>7</xdr:row>
      <xdr:rowOff>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A156DC5-50ED-E891-6195-A9944B1325C6}"/>
            </a:ext>
          </a:extLst>
        </xdr:cNvPr>
        <xdr:cNvSpPr/>
      </xdr:nvSpPr>
      <xdr:spPr>
        <a:xfrm>
          <a:off x="3386667" y="253999"/>
          <a:ext cx="2815166" cy="1090084"/>
        </a:xfrm>
        <a:prstGeom prst="rect">
          <a:avLst/>
        </a:prstGeom>
        <a:solidFill>
          <a:srgbClr val="4D4D4D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2000" b="1" i="0" u="none" strike="noStrike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Faturamento total</a:t>
          </a:r>
          <a:r>
            <a:rPr lang="pt-BR" sz="2000" b="1" i="0" u="none" strike="noStrike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pt-BR" sz="2000" b="1" i="0" u="none" strike="noStrike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br>
            <a:rPr lang="pt-BR" sz="2000" b="1" i="0" u="none" strike="noStrike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pt-BR" sz="2000" b="1" i="0" u="none" strike="noStrike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R$   24.130,00 </a:t>
          </a:r>
          <a:endParaRPr lang="pt-BR" sz="20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7</xdr:col>
      <xdr:colOff>603250</xdr:colOff>
      <xdr:row>20</xdr:row>
      <xdr:rowOff>50623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73A00B0-0690-990D-3EFD-75152077C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4900083" cy="38225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179917</xdr:rowOff>
    </xdr:from>
    <xdr:to>
      <xdr:col>7</xdr:col>
      <xdr:colOff>592667</xdr:colOff>
      <xdr:row>43</xdr:row>
      <xdr:rowOff>10950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5AB7087-449E-8BC5-65D3-3252D9D36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51917"/>
          <a:ext cx="4889500" cy="3450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7</xdr:col>
      <xdr:colOff>603250</xdr:colOff>
      <xdr:row>65</xdr:row>
      <xdr:rowOff>46021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F285A66-30A9-BB5D-675F-19C7B2690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953500"/>
          <a:ext cx="4900083" cy="34750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7</xdr:col>
      <xdr:colOff>582083</xdr:colOff>
      <xdr:row>85</xdr:row>
      <xdr:rowOff>31750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9C7F962-86ED-4185-A1DE-4724920DA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rael da Silva Coelho" refreshedDate="46105.764313541666" createdVersion="8" refreshedVersion="8" minRefreshableVersion="3" recordCount="20" xr:uid="{C66817BE-E382-4B7D-A52F-5CDE7DC4219C}">
  <cacheSource type="worksheet">
    <worksheetSource ref="A1:G21" sheet="Dados_limpos"/>
  </cacheSource>
  <cacheFields count="8">
    <cacheField name="Data" numFmtId="14">
      <sharedItems containsSemiMixedTypes="0" containsNonDate="0" containsDate="1" containsString="0" minDate="2025-01-05T00:00:00" maxDate="2025-04-16T00:00:00"/>
    </cacheField>
    <cacheField name="Pedido_ID" numFmtId="0">
      <sharedItems containsSemiMixedTypes="0" containsString="0" containsNumber="1" containsInteger="1" minValue="1001" maxValue="1020"/>
    </cacheField>
    <cacheField name="Produto" numFmtId="0">
      <sharedItems count="7">
        <s v="Mouse Gamer"/>
        <s v="Teclado Mecânico"/>
        <s v="Cadeira Office"/>
        <s v="Headset"/>
        <s v="Notebook"/>
        <s v="Webcam"/>
        <s v="Monitor 24"/>
      </sharedItems>
    </cacheField>
    <cacheField name="Categoria" numFmtId="0">
      <sharedItems count="5">
        <s v="Periféricos"/>
        <s v="Móveis"/>
        <s v="Áudio"/>
        <s v="Computadores"/>
        <s v="Monitores"/>
      </sharedItems>
    </cacheField>
    <cacheField name="Regiao" numFmtId="0">
      <sharedItems count="5">
        <s v="Sudeste"/>
        <s v="Sul"/>
        <s v="Nordeste"/>
        <s v="Centro-Oeste"/>
        <s v="Norte"/>
      </sharedItems>
    </cacheField>
    <cacheField name="Quantidade" numFmtId="0">
      <sharedItems containsSemiMixedTypes="0" containsString="0" containsNumber="1" containsInteger="1" minValue="1" maxValue="4"/>
    </cacheField>
    <cacheField name="Preco_Unitario" numFmtId="164">
      <sharedItems containsSemiMixedTypes="0" containsString="0" containsNumber="1" containsInteger="1" minValue="120" maxValue="3600"/>
    </cacheField>
    <cacheField name="Faturamento" numFmtId="164">
      <sharedItems containsSemiMixedTypes="0" containsString="0" containsNumber="1" containsInteger="1" minValue="120" maxValue="3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rael da Silva Coelho" refreshedDate="46105.765300347222" createdVersion="8" refreshedVersion="8" minRefreshableVersion="3" recordCount="21" xr:uid="{5DEF1B33-0BB0-414C-BF06-EC306D8B5182}">
  <cacheSource type="worksheet">
    <worksheetSource ref="A1:H22" sheet="Dados_limpos"/>
  </cacheSource>
  <cacheFields count="9">
    <cacheField name="Data" numFmtId="0">
      <sharedItems containsNonDate="0" containsDate="1" containsString="0" containsBlank="1" minDate="2025-01-05T00:00:00" maxDate="2025-04-16T00:00:00"/>
    </cacheField>
    <cacheField name="Pedido_ID" numFmtId="0">
      <sharedItems containsString="0" containsBlank="1" containsNumber="1" containsInteger="1" minValue="1001" maxValue="1020"/>
    </cacheField>
    <cacheField name="Produto" numFmtId="0">
      <sharedItems containsBlank="1"/>
    </cacheField>
    <cacheField name="Categoria" numFmtId="0">
      <sharedItems containsBlank="1"/>
    </cacheField>
    <cacheField name="Regiao" numFmtId="0">
      <sharedItems containsBlank="1"/>
    </cacheField>
    <cacheField name="Quantidade" numFmtId="0">
      <sharedItems containsString="0" containsBlank="1" containsNumber="1" containsInteger="1" minValue="1" maxValue="4"/>
    </cacheField>
    <cacheField name="Preco_Unitario" numFmtId="164">
      <sharedItems containsString="0" containsBlank="1" containsNumber="1" containsInteger="1" minValue="120" maxValue="3600"/>
    </cacheField>
    <cacheField name="Faturamento" numFmtId="164">
      <sharedItems containsSemiMixedTypes="0" containsString="0" containsNumber="1" containsInteger="1" minValue="120" maxValue="24130"/>
    </cacheField>
    <cacheField name="Mês" numFmtId="0">
      <sharedItems containsBlank="1" count="5">
        <s v="2025-01"/>
        <s v="2025-04"/>
        <s v="2025-03"/>
        <s v="2025-0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5-01-05T00:00:00"/>
    <n v="1001"/>
    <x v="0"/>
    <x v="0"/>
    <x v="0"/>
    <n v="2"/>
    <n v="120"/>
    <n v="240"/>
  </r>
  <r>
    <d v="2025-01-06T00:00:00"/>
    <n v="1002"/>
    <x v="1"/>
    <x v="0"/>
    <x v="1"/>
    <n v="1"/>
    <n v="250"/>
    <n v="250"/>
  </r>
  <r>
    <d v="2025-04-01T00:00:00"/>
    <n v="1016"/>
    <x v="0"/>
    <x v="0"/>
    <x v="0"/>
    <n v="4"/>
    <n v="120"/>
    <n v="480"/>
  </r>
  <r>
    <d v="2025-01-10T00:00:00"/>
    <n v="1004"/>
    <x v="2"/>
    <x v="1"/>
    <x v="2"/>
    <n v="1"/>
    <n v="900"/>
    <n v="900"/>
  </r>
  <r>
    <d v="2025-03-08T00:00:00"/>
    <n v="1013"/>
    <x v="3"/>
    <x v="2"/>
    <x v="0"/>
    <n v="1"/>
    <n v="180"/>
    <n v="180"/>
  </r>
  <r>
    <d v="2025-02-01T00:00:00"/>
    <n v="1006"/>
    <x v="0"/>
    <x v="0"/>
    <x v="3"/>
    <n v="1"/>
    <n v="120"/>
    <n v="120"/>
  </r>
  <r>
    <d v="2025-02-03T00:00:00"/>
    <n v="1007"/>
    <x v="3"/>
    <x v="2"/>
    <x v="1"/>
    <n v="3"/>
    <n v="180"/>
    <n v="540"/>
  </r>
  <r>
    <d v="2025-02-08T00:00:00"/>
    <n v="1008"/>
    <x v="4"/>
    <x v="3"/>
    <x v="4"/>
    <n v="1"/>
    <n v="3400"/>
    <n v="3400"/>
  </r>
  <r>
    <d v="2025-02-11T00:00:00"/>
    <n v="1009"/>
    <x v="5"/>
    <x v="0"/>
    <x v="0"/>
    <n v="2"/>
    <n v="220"/>
    <n v="440"/>
  </r>
  <r>
    <d v="2025-02-14T00:00:00"/>
    <n v="1010"/>
    <x v="6"/>
    <x v="4"/>
    <x v="2"/>
    <n v="1"/>
    <n v="800"/>
    <n v="800"/>
  </r>
  <r>
    <d v="2025-03-02T00:00:00"/>
    <n v="1011"/>
    <x v="1"/>
    <x v="0"/>
    <x v="0"/>
    <n v="2"/>
    <n v="250"/>
    <n v="500"/>
  </r>
  <r>
    <d v="2025-03-06T00:00:00"/>
    <n v="1012"/>
    <x v="2"/>
    <x v="1"/>
    <x v="1"/>
    <n v="1"/>
    <n v="900"/>
    <n v="900"/>
  </r>
  <r>
    <d v="2025-01-12T00:00:00"/>
    <n v="1005"/>
    <x v="6"/>
    <x v="4"/>
    <x v="0"/>
    <n v="2"/>
    <n v="800"/>
    <n v="1600"/>
  </r>
  <r>
    <d v="2025-01-08T00:00:00"/>
    <n v="1003"/>
    <x v="4"/>
    <x v="3"/>
    <x v="0"/>
    <n v="1"/>
    <n v="3500"/>
    <n v="3500"/>
  </r>
  <r>
    <d v="2025-03-14T00:00:00"/>
    <n v="1015"/>
    <x v="5"/>
    <x v="0"/>
    <x v="4"/>
    <n v="1"/>
    <n v="220"/>
    <n v="220"/>
  </r>
  <r>
    <d v="2025-04-15T00:00:00"/>
    <n v="1020"/>
    <x v="4"/>
    <x v="3"/>
    <x v="0"/>
    <n v="1"/>
    <n v="3550"/>
    <n v="3550"/>
  </r>
  <r>
    <d v="2025-04-03T00:00:00"/>
    <n v="1017"/>
    <x v="6"/>
    <x v="4"/>
    <x v="1"/>
    <n v="2"/>
    <n v="800"/>
    <n v="1600"/>
  </r>
  <r>
    <d v="2025-04-08T00:00:00"/>
    <n v="1018"/>
    <x v="2"/>
    <x v="1"/>
    <x v="3"/>
    <n v="1"/>
    <n v="950"/>
    <n v="950"/>
  </r>
  <r>
    <d v="2025-04-10T00:00:00"/>
    <n v="1019"/>
    <x v="3"/>
    <x v="2"/>
    <x v="2"/>
    <n v="2"/>
    <n v="180"/>
    <n v="360"/>
  </r>
  <r>
    <d v="2025-03-10T00:00:00"/>
    <n v="1014"/>
    <x v="4"/>
    <x v="3"/>
    <x v="0"/>
    <n v="1"/>
    <n v="3600"/>
    <n v="36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d v="2025-01-05T00:00:00"/>
    <n v="1001"/>
    <s v="Mouse Gamer"/>
    <s v="Periféricos"/>
    <s v="Sudeste"/>
    <n v="2"/>
    <n v="120"/>
    <n v="240"/>
    <x v="0"/>
  </r>
  <r>
    <d v="2025-01-06T00:00:00"/>
    <n v="1002"/>
    <s v="Teclado Mecânico"/>
    <s v="Periféricos"/>
    <s v="Sul"/>
    <n v="1"/>
    <n v="250"/>
    <n v="250"/>
    <x v="0"/>
  </r>
  <r>
    <d v="2025-04-01T00:00:00"/>
    <n v="1016"/>
    <s v="Mouse Gamer"/>
    <s v="Periféricos"/>
    <s v="Sudeste"/>
    <n v="4"/>
    <n v="120"/>
    <n v="480"/>
    <x v="1"/>
  </r>
  <r>
    <d v="2025-01-10T00:00:00"/>
    <n v="1004"/>
    <s v="Cadeira Office"/>
    <s v="Móveis"/>
    <s v="Nordeste"/>
    <n v="1"/>
    <n v="900"/>
    <n v="900"/>
    <x v="0"/>
  </r>
  <r>
    <d v="2025-03-08T00:00:00"/>
    <n v="1013"/>
    <s v="Headset"/>
    <s v="Áudio"/>
    <s v="Sudeste"/>
    <n v="1"/>
    <n v="180"/>
    <n v="180"/>
    <x v="2"/>
  </r>
  <r>
    <d v="2025-02-01T00:00:00"/>
    <n v="1006"/>
    <s v="Mouse Gamer"/>
    <s v="Periféricos"/>
    <s v="Centro-Oeste"/>
    <n v="1"/>
    <n v="120"/>
    <n v="120"/>
    <x v="3"/>
  </r>
  <r>
    <d v="2025-02-03T00:00:00"/>
    <n v="1007"/>
    <s v="Headset"/>
    <s v="Áudio"/>
    <s v="Sul"/>
    <n v="3"/>
    <n v="180"/>
    <n v="540"/>
    <x v="3"/>
  </r>
  <r>
    <d v="2025-02-08T00:00:00"/>
    <n v="1008"/>
    <s v="Notebook"/>
    <s v="Computadores"/>
    <s v="Norte"/>
    <n v="1"/>
    <n v="3400"/>
    <n v="3400"/>
    <x v="3"/>
  </r>
  <r>
    <d v="2025-02-11T00:00:00"/>
    <n v="1009"/>
    <s v="Webcam"/>
    <s v="Periféricos"/>
    <s v="Sudeste"/>
    <n v="2"/>
    <n v="220"/>
    <n v="440"/>
    <x v="3"/>
  </r>
  <r>
    <d v="2025-02-14T00:00:00"/>
    <n v="1010"/>
    <s v="Monitor 24"/>
    <s v="Monitores"/>
    <s v="Nordeste"/>
    <n v="1"/>
    <n v="800"/>
    <n v="800"/>
    <x v="3"/>
  </r>
  <r>
    <d v="2025-03-02T00:00:00"/>
    <n v="1011"/>
    <s v="Teclado Mecânico"/>
    <s v="Periféricos"/>
    <s v="Sudeste"/>
    <n v="2"/>
    <n v="250"/>
    <n v="500"/>
    <x v="2"/>
  </r>
  <r>
    <d v="2025-03-06T00:00:00"/>
    <n v="1012"/>
    <s v="Cadeira Office"/>
    <s v="Móveis"/>
    <s v="Sul"/>
    <n v="1"/>
    <n v="900"/>
    <n v="900"/>
    <x v="2"/>
  </r>
  <r>
    <d v="2025-01-12T00:00:00"/>
    <n v="1005"/>
    <s v="Monitor 24"/>
    <s v="Monitores"/>
    <s v="Sudeste"/>
    <n v="2"/>
    <n v="800"/>
    <n v="1600"/>
    <x v="0"/>
  </r>
  <r>
    <d v="2025-01-08T00:00:00"/>
    <n v="1003"/>
    <s v="Notebook"/>
    <s v="Computadores"/>
    <s v="Sudeste"/>
    <n v="1"/>
    <n v="3500"/>
    <n v="3500"/>
    <x v="0"/>
  </r>
  <r>
    <d v="2025-03-14T00:00:00"/>
    <n v="1015"/>
    <s v="Webcam"/>
    <s v="Periféricos"/>
    <s v="Norte"/>
    <n v="1"/>
    <n v="220"/>
    <n v="220"/>
    <x v="2"/>
  </r>
  <r>
    <d v="2025-04-15T00:00:00"/>
    <n v="1020"/>
    <s v="Notebook"/>
    <s v="Computadores"/>
    <s v="Sudeste"/>
    <n v="1"/>
    <n v="3550"/>
    <n v="3550"/>
    <x v="1"/>
  </r>
  <r>
    <d v="2025-04-03T00:00:00"/>
    <n v="1017"/>
    <s v="Monitor 24"/>
    <s v="Monitores"/>
    <s v="Sul"/>
    <n v="2"/>
    <n v="800"/>
    <n v="1600"/>
    <x v="1"/>
  </r>
  <r>
    <d v="2025-04-08T00:00:00"/>
    <n v="1018"/>
    <s v="Cadeira Office"/>
    <s v="Móveis"/>
    <s v="Centro-Oeste"/>
    <n v="1"/>
    <n v="950"/>
    <n v="950"/>
    <x v="1"/>
  </r>
  <r>
    <d v="2025-04-10T00:00:00"/>
    <n v="1019"/>
    <s v="Headset"/>
    <s v="Áudio"/>
    <s v="Nordeste"/>
    <n v="2"/>
    <n v="180"/>
    <n v="360"/>
    <x v="1"/>
  </r>
  <r>
    <d v="2025-03-10T00:00:00"/>
    <n v="1014"/>
    <s v="Notebook"/>
    <s v="Computadores"/>
    <s v="Sudeste"/>
    <n v="1"/>
    <n v="3600"/>
    <n v="3600"/>
    <x v="2"/>
  </r>
  <r>
    <m/>
    <m/>
    <m/>
    <m/>
    <m/>
    <m/>
    <m/>
    <n v="2413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03012-5713-4074-B69E-EF46F34F7D99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9:H44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 sortType="descending">
      <items count="6">
        <item x="0"/>
        <item x="3"/>
        <item x="2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oma de Faturamento" fld="7" baseField="0" baseItem="0" numFmtId="164"/>
  </dataFields>
  <pivotTableStyleInfo name="PivotStyleDark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8082A-07C8-44AE-A125-DFF89DA823FC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38:B44" firstHeaderRow="1" firstDataRow="1" firstDataCol="1"/>
  <pivotFields count="8">
    <pivotField numFmtId="14" showAll="0"/>
    <pivotField showAll="0"/>
    <pivotField showAll="0" sortType="ascending"/>
    <pivotField showAll="0"/>
    <pivotField axis="axisRow" showAll="0" sortType="de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164" showAll="0"/>
  </pivotFields>
  <rowFields count="1">
    <field x="4"/>
  </rowFields>
  <rowItems count="6">
    <i>
      <x v="3"/>
    </i>
    <i>
      <x v="2"/>
    </i>
    <i>
      <x v="4"/>
    </i>
    <i>
      <x v="1"/>
    </i>
    <i>
      <x/>
    </i>
    <i t="grand">
      <x/>
    </i>
  </rowItems>
  <colItems count="1">
    <i/>
  </colItems>
  <dataFields count="1">
    <dataField name="Soma de Faturamento" fld="7" baseField="0" baseItem="0" numFmtId="164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0C2C1-C5E9-4F93-831F-26CF11855DDB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G3:H9" firstHeaderRow="1" firstDataRow="1" firstDataCol="1"/>
  <pivotFields count="8">
    <pivotField numFmtId="14" showAll="0"/>
    <pivotField showAll="0"/>
    <pivotField showAll="0" sortType="ascending"/>
    <pivotField axis="axisRow" showAll="0" sortType="descending">
      <items count="6">
        <item x="2"/>
        <item x="3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</pivotFields>
  <rowFields count="1">
    <field x="3"/>
  </rowFields>
  <rowItems count="6">
    <i>
      <x v="1"/>
    </i>
    <i>
      <x v="2"/>
    </i>
    <i>
      <x v="3"/>
    </i>
    <i>
      <x v="4"/>
    </i>
    <i>
      <x/>
    </i>
    <i t="grand">
      <x/>
    </i>
  </rowItems>
  <colItems count="1">
    <i/>
  </colItems>
  <dataFields count="1">
    <dataField name="Soma de Faturamento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31AEC-B0D2-4443-B05A-88F5E0969D1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L3:M11" firstHeaderRow="1" firstDataRow="1" firstDataCol="1"/>
  <pivotFields count="8">
    <pivotField numFmtId="14" showAll="0"/>
    <pivotField showAll="0"/>
    <pivotField axis="axisRow" showAll="0" sortType="descending">
      <items count="8">
        <item x="2"/>
        <item x="3"/>
        <item x="6"/>
        <item x="0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dataField="1" numFmtId="164" showAll="0"/>
  </pivotFields>
  <rowFields count="1">
    <field x="2"/>
  </rowFields>
  <rowItems count="8">
    <i>
      <x v="4"/>
    </i>
    <i>
      <x v="2"/>
    </i>
    <i>
      <x/>
    </i>
    <i>
      <x v="1"/>
    </i>
    <i>
      <x v="3"/>
    </i>
    <i>
      <x v="5"/>
    </i>
    <i>
      <x v="6"/>
    </i>
    <i t="grand">
      <x/>
    </i>
  </rowItems>
  <colItems count="1">
    <i/>
  </colItems>
  <dataFields count="1">
    <dataField name="Soma de Faturamento" fld="7" baseField="0" baseItem="0" numFmtId="164"/>
  </dataFields>
  <chartFormats count="2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E5836-93CC-4447-A6FA-E77FFB50687A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3:B11" firstHeaderRow="1" firstDataRow="1" firstDataCol="1"/>
  <pivotFields count="8">
    <pivotField numFmtId="14" showAll="0"/>
    <pivotField showAll="0"/>
    <pivotField axis="axisRow" showAll="0" sortType="descending">
      <items count="8">
        <item x="2"/>
        <item x="3"/>
        <item x="6"/>
        <item x="0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64" showAll="0"/>
    <pivotField numFmtId="164" showAll="0"/>
  </pivotFields>
  <rowFields count="1">
    <field x="2"/>
  </rowFields>
  <rowItems count="8">
    <i>
      <x v="3"/>
    </i>
    <i>
      <x v="1"/>
    </i>
    <i>
      <x v="2"/>
    </i>
    <i>
      <x v="4"/>
    </i>
    <i>
      <x v="5"/>
    </i>
    <i>
      <x v="6"/>
    </i>
    <i>
      <x/>
    </i>
    <i t="grand">
      <x/>
    </i>
  </rowItems>
  <colItems count="1">
    <i/>
  </colItems>
  <dataFields count="1">
    <dataField name="Soma de Quantidad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6FC2-C91B-4A57-9388-526AD0392C22}">
  <dimension ref="A1:G21"/>
  <sheetViews>
    <sheetView workbookViewId="0">
      <selection activeCell="J18" sqref="J18"/>
    </sheetView>
  </sheetViews>
  <sheetFormatPr defaultRowHeight="15" x14ac:dyDescent="0.25"/>
  <cols>
    <col min="1" max="1" width="10.42578125" bestFit="1" customWidth="1"/>
    <col min="2" max="2" width="9.85546875" bestFit="1" customWidth="1"/>
    <col min="3" max="3" width="17.28515625" bestFit="1" customWidth="1"/>
    <col min="4" max="4" width="14.140625" bestFit="1" customWidth="1"/>
    <col min="6" max="6" width="11.42578125" bestFit="1" customWidth="1"/>
    <col min="7" max="7" width="14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45662</v>
      </c>
      <c r="B2">
        <v>1001</v>
      </c>
      <c r="C2" t="s">
        <v>7</v>
      </c>
      <c r="D2" t="s">
        <v>8</v>
      </c>
      <c r="E2" t="s">
        <v>9</v>
      </c>
      <c r="F2">
        <v>2</v>
      </c>
      <c r="G2">
        <v>120</v>
      </c>
    </row>
    <row r="3" spans="1:7" x14ac:dyDescent="0.25">
      <c r="A3" s="1">
        <v>45663</v>
      </c>
      <c r="B3">
        <v>1002</v>
      </c>
      <c r="C3" t="s">
        <v>10</v>
      </c>
      <c r="D3" t="s">
        <v>8</v>
      </c>
      <c r="E3" t="s">
        <v>11</v>
      </c>
      <c r="F3">
        <v>1</v>
      </c>
      <c r="G3">
        <v>250</v>
      </c>
    </row>
    <row r="4" spans="1:7" x14ac:dyDescent="0.25">
      <c r="A4" s="1">
        <v>45665</v>
      </c>
      <c r="B4">
        <v>1003</v>
      </c>
      <c r="C4" t="s">
        <v>12</v>
      </c>
      <c r="D4" t="s">
        <v>13</v>
      </c>
      <c r="E4" t="s">
        <v>9</v>
      </c>
      <c r="F4">
        <v>1</v>
      </c>
      <c r="G4">
        <v>3500</v>
      </c>
    </row>
    <row r="5" spans="1:7" x14ac:dyDescent="0.25">
      <c r="A5" s="1">
        <v>45667</v>
      </c>
      <c r="B5">
        <v>1004</v>
      </c>
      <c r="C5" t="s">
        <v>14</v>
      </c>
      <c r="D5" t="s">
        <v>15</v>
      </c>
      <c r="E5" t="s">
        <v>16</v>
      </c>
      <c r="F5">
        <v>1</v>
      </c>
      <c r="G5">
        <v>900</v>
      </c>
    </row>
    <row r="6" spans="1:7" x14ac:dyDescent="0.25">
      <c r="A6" s="1">
        <v>45669</v>
      </c>
      <c r="B6">
        <v>1005</v>
      </c>
      <c r="C6" t="s">
        <v>17</v>
      </c>
      <c r="D6" t="s">
        <v>18</v>
      </c>
      <c r="E6" t="s">
        <v>9</v>
      </c>
      <c r="F6">
        <v>2</v>
      </c>
      <c r="G6">
        <v>800</v>
      </c>
    </row>
    <row r="7" spans="1:7" x14ac:dyDescent="0.25">
      <c r="A7" s="1">
        <v>45689</v>
      </c>
      <c r="B7">
        <v>1006</v>
      </c>
      <c r="C7" t="s">
        <v>7</v>
      </c>
      <c r="D7" t="s">
        <v>8</v>
      </c>
      <c r="E7" t="s">
        <v>19</v>
      </c>
      <c r="F7">
        <v>1</v>
      </c>
      <c r="G7">
        <v>120</v>
      </c>
    </row>
    <row r="8" spans="1:7" x14ac:dyDescent="0.25">
      <c r="A8" s="1">
        <v>45691</v>
      </c>
      <c r="B8">
        <v>1007</v>
      </c>
      <c r="C8" t="s">
        <v>20</v>
      </c>
      <c r="D8" t="s">
        <v>21</v>
      </c>
      <c r="E8" t="s">
        <v>11</v>
      </c>
      <c r="F8">
        <v>3</v>
      </c>
      <c r="G8">
        <v>180</v>
      </c>
    </row>
    <row r="9" spans="1:7" x14ac:dyDescent="0.25">
      <c r="A9" s="1">
        <v>45696</v>
      </c>
      <c r="B9">
        <v>1008</v>
      </c>
      <c r="C9" t="s">
        <v>12</v>
      </c>
      <c r="D9" t="s">
        <v>13</v>
      </c>
      <c r="E9" t="s">
        <v>22</v>
      </c>
      <c r="F9">
        <v>1</v>
      </c>
      <c r="G9">
        <v>3400</v>
      </c>
    </row>
    <row r="10" spans="1:7" x14ac:dyDescent="0.25">
      <c r="A10" s="1">
        <v>45699</v>
      </c>
      <c r="B10">
        <v>1009</v>
      </c>
      <c r="C10" t="s">
        <v>23</v>
      </c>
      <c r="D10" t="s">
        <v>8</v>
      </c>
      <c r="E10" t="s">
        <v>9</v>
      </c>
      <c r="F10">
        <v>2</v>
      </c>
      <c r="G10">
        <v>220</v>
      </c>
    </row>
    <row r="11" spans="1:7" x14ac:dyDescent="0.25">
      <c r="A11" s="1">
        <v>45702</v>
      </c>
      <c r="B11">
        <v>1010</v>
      </c>
      <c r="C11" t="s">
        <v>17</v>
      </c>
      <c r="D11" t="s">
        <v>18</v>
      </c>
      <c r="E11" t="s">
        <v>16</v>
      </c>
      <c r="F11">
        <v>1</v>
      </c>
      <c r="G11">
        <v>800</v>
      </c>
    </row>
    <row r="12" spans="1:7" x14ac:dyDescent="0.25">
      <c r="A12" s="1">
        <v>45718</v>
      </c>
      <c r="B12">
        <v>1011</v>
      </c>
      <c r="C12" t="s">
        <v>10</v>
      </c>
      <c r="D12" t="s">
        <v>8</v>
      </c>
      <c r="E12" t="s">
        <v>9</v>
      </c>
      <c r="F12">
        <v>2</v>
      </c>
      <c r="G12">
        <v>250</v>
      </c>
    </row>
    <row r="13" spans="1:7" x14ac:dyDescent="0.25">
      <c r="A13" s="1">
        <v>45722</v>
      </c>
      <c r="B13">
        <v>1012</v>
      </c>
      <c r="C13" t="s">
        <v>14</v>
      </c>
      <c r="D13" t="s">
        <v>15</v>
      </c>
      <c r="E13" t="s">
        <v>11</v>
      </c>
      <c r="F13">
        <v>1</v>
      </c>
      <c r="G13">
        <v>900</v>
      </c>
    </row>
    <row r="14" spans="1:7" x14ac:dyDescent="0.25">
      <c r="A14" s="1">
        <v>45724</v>
      </c>
      <c r="B14">
        <v>1013</v>
      </c>
      <c r="C14" t="s">
        <v>20</v>
      </c>
      <c r="D14" t="s">
        <v>21</v>
      </c>
      <c r="E14" t="s">
        <v>9</v>
      </c>
      <c r="F14">
        <v>1</v>
      </c>
      <c r="G14">
        <v>180</v>
      </c>
    </row>
    <row r="15" spans="1:7" x14ac:dyDescent="0.25">
      <c r="A15" s="1">
        <v>45726</v>
      </c>
      <c r="B15">
        <v>1014</v>
      </c>
      <c r="C15" t="s">
        <v>12</v>
      </c>
      <c r="D15" t="s">
        <v>13</v>
      </c>
      <c r="E15" t="s">
        <v>9</v>
      </c>
      <c r="F15">
        <v>1</v>
      </c>
      <c r="G15">
        <v>3600</v>
      </c>
    </row>
    <row r="16" spans="1:7" x14ac:dyDescent="0.25">
      <c r="A16" s="1">
        <v>45730</v>
      </c>
      <c r="B16">
        <v>1015</v>
      </c>
      <c r="C16" t="s">
        <v>23</v>
      </c>
      <c r="D16" t="s">
        <v>8</v>
      </c>
      <c r="E16" t="s">
        <v>22</v>
      </c>
      <c r="F16">
        <v>1</v>
      </c>
      <c r="G16">
        <v>220</v>
      </c>
    </row>
    <row r="17" spans="1:7" x14ac:dyDescent="0.25">
      <c r="A17" s="1">
        <v>45748</v>
      </c>
      <c r="B17">
        <v>1016</v>
      </c>
      <c r="C17" t="s">
        <v>7</v>
      </c>
      <c r="D17" t="s">
        <v>8</v>
      </c>
      <c r="E17" t="s">
        <v>9</v>
      </c>
      <c r="F17">
        <v>4</v>
      </c>
      <c r="G17">
        <v>120</v>
      </c>
    </row>
    <row r="18" spans="1:7" x14ac:dyDescent="0.25">
      <c r="A18" s="1">
        <v>45750</v>
      </c>
      <c r="B18">
        <v>1017</v>
      </c>
      <c r="C18" t="s">
        <v>17</v>
      </c>
      <c r="D18" t="s">
        <v>18</v>
      </c>
      <c r="E18" t="s">
        <v>11</v>
      </c>
      <c r="F18">
        <v>2</v>
      </c>
      <c r="G18">
        <v>800</v>
      </c>
    </row>
    <row r="19" spans="1:7" x14ac:dyDescent="0.25">
      <c r="A19" s="1">
        <v>45755</v>
      </c>
      <c r="B19">
        <v>1018</v>
      </c>
      <c r="C19" t="s">
        <v>14</v>
      </c>
      <c r="D19" t="s">
        <v>15</v>
      </c>
      <c r="E19" t="s">
        <v>19</v>
      </c>
      <c r="F19">
        <v>1</v>
      </c>
      <c r="G19">
        <v>950</v>
      </c>
    </row>
    <row r="20" spans="1:7" x14ac:dyDescent="0.25">
      <c r="A20" s="1">
        <v>45757</v>
      </c>
      <c r="B20">
        <v>1019</v>
      </c>
      <c r="C20" t="s">
        <v>20</v>
      </c>
      <c r="D20" t="s">
        <v>21</v>
      </c>
      <c r="E20" t="s">
        <v>16</v>
      </c>
      <c r="F20">
        <v>2</v>
      </c>
      <c r="G20">
        <v>180</v>
      </c>
    </row>
    <row r="21" spans="1:7" x14ac:dyDescent="0.25">
      <c r="A21" s="1">
        <v>45762</v>
      </c>
      <c r="B21">
        <v>1020</v>
      </c>
      <c r="C21" t="s">
        <v>12</v>
      </c>
      <c r="D21" t="s">
        <v>13</v>
      </c>
      <c r="E21" t="s">
        <v>9</v>
      </c>
      <c r="F21">
        <v>1</v>
      </c>
      <c r="G21">
        <v>3550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656A-2F44-408D-A3A6-F6CEA994AF83}">
  <dimension ref="A1:H23"/>
  <sheetViews>
    <sheetView workbookViewId="0">
      <selection activeCell="F1" sqref="F1"/>
    </sheetView>
  </sheetViews>
  <sheetFormatPr defaultRowHeight="15" x14ac:dyDescent="0.25"/>
  <cols>
    <col min="1" max="1" width="10.42578125" bestFit="1" customWidth="1"/>
    <col min="2" max="2" width="17.28515625" bestFit="1" customWidth="1"/>
    <col min="3" max="3" width="14.140625" bestFit="1" customWidth="1"/>
    <col min="5" max="5" width="11.42578125" bestFit="1" customWidth="1"/>
    <col min="6" max="6" width="16.42578125" style="2" bestFit="1" customWidth="1"/>
    <col min="7" max="7" width="13.28515625" style="2" bestFit="1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s="2" t="s">
        <v>6</v>
      </c>
      <c r="G1" s="2" t="s">
        <v>24</v>
      </c>
      <c r="H1" t="s">
        <v>29</v>
      </c>
    </row>
    <row r="2" spans="1:8" x14ac:dyDescent="0.25">
      <c r="A2" s="1">
        <v>45662</v>
      </c>
      <c r="B2" t="s">
        <v>7</v>
      </c>
      <c r="C2" t="s">
        <v>8</v>
      </c>
      <c r="D2" t="s">
        <v>9</v>
      </c>
      <c r="E2">
        <v>2</v>
      </c>
      <c r="F2" s="2">
        <v>120</v>
      </c>
      <c r="G2" s="2">
        <f t="shared" ref="G2:G21" si="0">(E2*F2)</f>
        <v>240</v>
      </c>
      <c r="H2" t="str">
        <f>TEXT(A2,"aaaa-mm")</f>
        <v>2025-01</v>
      </c>
    </row>
    <row r="3" spans="1:8" x14ac:dyDescent="0.25">
      <c r="A3" s="1">
        <v>45663</v>
      </c>
      <c r="B3" t="s">
        <v>10</v>
      </c>
      <c r="C3" t="s">
        <v>8</v>
      </c>
      <c r="D3" t="s">
        <v>11</v>
      </c>
      <c r="E3">
        <v>1</v>
      </c>
      <c r="F3" s="2">
        <v>250</v>
      </c>
      <c r="G3" s="2">
        <f t="shared" si="0"/>
        <v>250</v>
      </c>
      <c r="H3" t="str">
        <f t="shared" ref="H3:H21" si="1">TEXT(A3,"aaaa-mm")</f>
        <v>2025-01</v>
      </c>
    </row>
    <row r="4" spans="1:8" x14ac:dyDescent="0.25">
      <c r="A4" s="1">
        <v>45748</v>
      </c>
      <c r="B4" t="s">
        <v>7</v>
      </c>
      <c r="C4" t="s">
        <v>8</v>
      </c>
      <c r="D4" t="s">
        <v>9</v>
      </c>
      <c r="E4">
        <v>4</v>
      </c>
      <c r="F4" s="2">
        <v>120</v>
      </c>
      <c r="G4" s="2">
        <f t="shared" si="0"/>
        <v>480</v>
      </c>
      <c r="H4" t="str">
        <f t="shared" si="1"/>
        <v>2025-04</v>
      </c>
    </row>
    <row r="5" spans="1:8" x14ac:dyDescent="0.25">
      <c r="A5" s="1">
        <v>45667</v>
      </c>
      <c r="B5" t="s">
        <v>14</v>
      </c>
      <c r="C5" t="s">
        <v>15</v>
      </c>
      <c r="D5" t="s">
        <v>16</v>
      </c>
      <c r="E5">
        <v>1</v>
      </c>
      <c r="F5" s="2">
        <v>900</v>
      </c>
      <c r="G5" s="2">
        <f t="shared" si="0"/>
        <v>900</v>
      </c>
      <c r="H5" t="str">
        <f t="shared" si="1"/>
        <v>2025-01</v>
      </c>
    </row>
    <row r="6" spans="1:8" x14ac:dyDescent="0.25">
      <c r="A6" s="1">
        <v>45724</v>
      </c>
      <c r="B6" t="s">
        <v>20</v>
      </c>
      <c r="C6" t="s">
        <v>21</v>
      </c>
      <c r="D6" t="s">
        <v>9</v>
      </c>
      <c r="E6">
        <v>1</v>
      </c>
      <c r="F6" s="2">
        <v>180</v>
      </c>
      <c r="G6" s="2">
        <f t="shared" si="0"/>
        <v>180</v>
      </c>
      <c r="H6" t="str">
        <f t="shared" si="1"/>
        <v>2025-03</v>
      </c>
    </row>
    <row r="7" spans="1:8" x14ac:dyDescent="0.25">
      <c r="A7" s="1">
        <v>45689</v>
      </c>
      <c r="B7" t="s">
        <v>7</v>
      </c>
      <c r="C7" t="s">
        <v>8</v>
      </c>
      <c r="D7" t="s">
        <v>19</v>
      </c>
      <c r="E7">
        <v>1</v>
      </c>
      <c r="F7" s="2">
        <v>120</v>
      </c>
      <c r="G7" s="2">
        <f t="shared" si="0"/>
        <v>120</v>
      </c>
      <c r="H7" t="str">
        <f t="shared" si="1"/>
        <v>2025-02</v>
      </c>
    </row>
    <row r="8" spans="1:8" x14ac:dyDescent="0.25">
      <c r="A8" s="1">
        <v>45691</v>
      </c>
      <c r="B8" t="s">
        <v>20</v>
      </c>
      <c r="C8" t="s">
        <v>21</v>
      </c>
      <c r="D8" t="s">
        <v>11</v>
      </c>
      <c r="E8">
        <v>3</v>
      </c>
      <c r="F8" s="2">
        <v>180</v>
      </c>
      <c r="G8" s="2">
        <f t="shared" si="0"/>
        <v>540</v>
      </c>
      <c r="H8" t="str">
        <f t="shared" si="1"/>
        <v>2025-02</v>
      </c>
    </row>
    <row r="9" spans="1:8" x14ac:dyDescent="0.25">
      <c r="A9" s="1">
        <v>45696</v>
      </c>
      <c r="B9" t="s">
        <v>12</v>
      </c>
      <c r="C9" t="s">
        <v>13</v>
      </c>
      <c r="D9" t="s">
        <v>22</v>
      </c>
      <c r="E9">
        <v>1</v>
      </c>
      <c r="F9" s="2">
        <v>3400</v>
      </c>
      <c r="G9" s="2">
        <f t="shared" si="0"/>
        <v>3400</v>
      </c>
      <c r="H9" t="str">
        <f t="shared" si="1"/>
        <v>2025-02</v>
      </c>
    </row>
    <row r="10" spans="1:8" x14ac:dyDescent="0.25">
      <c r="A10" s="1">
        <v>45699</v>
      </c>
      <c r="B10" t="s">
        <v>23</v>
      </c>
      <c r="C10" t="s">
        <v>8</v>
      </c>
      <c r="D10" t="s">
        <v>9</v>
      </c>
      <c r="E10">
        <v>2</v>
      </c>
      <c r="F10" s="2">
        <v>220</v>
      </c>
      <c r="G10" s="2">
        <f t="shared" si="0"/>
        <v>440</v>
      </c>
      <c r="H10" t="str">
        <f t="shared" si="1"/>
        <v>2025-02</v>
      </c>
    </row>
    <row r="11" spans="1:8" x14ac:dyDescent="0.25">
      <c r="A11" s="1">
        <v>45702</v>
      </c>
      <c r="B11" t="s">
        <v>17</v>
      </c>
      <c r="C11" t="s">
        <v>18</v>
      </c>
      <c r="D11" t="s">
        <v>16</v>
      </c>
      <c r="E11">
        <v>1</v>
      </c>
      <c r="F11" s="2">
        <v>800</v>
      </c>
      <c r="G11" s="2">
        <f t="shared" si="0"/>
        <v>800</v>
      </c>
      <c r="H11" t="str">
        <f t="shared" si="1"/>
        <v>2025-02</v>
      </c>
    </row>
    <row r="12" spans="1:8" x14ac:dyDescent="0.25">
      <c r="A12" s="1">
        <v>45718</v>
      </c>
      <c r="B12" t="s">
        <v>10</v>
      </c>
      <c r="C12" t="s">
        <v>8</v>
      </c>
      <c r="D12" t="s">
        <v>9</v>
      </c>
      <c r="E12">
        <v>2</v>
      </c>
      <c r="F12" s="2">
        <v>250</v>
      </c>
      <c r="G12" s="2">
        <f t="shared" si="0"/>
        <v>500</v>
      </c>
      <c r="H12" t="str">
        <f t="shared" si="1"/>
        <v>2025-03</v>
      </c>
    </row>
    <row r="13" spans="1:8" x14ac:dyDescent="0.25">
      <c r="A13" s="1">
        <v>45722</v>
      </c>
      <c r="B13" t="s">
        <v>14</v>
      </c>
      <c r="C13" t="s">
        <v>15</v>
      </c>
      <c r="D13" t="s">
        <v>11</v>
      </c>
      <c r="E13">
        <v>1</v>
      </c>
      <c r="F13" s="2">
        <v>900</v>
      </c>
      <c r="G13" s="2">
        <f t="shared" si="0"/>
        <v>900</v>
      </c>
      <c r="H13" t="str">
        <f t="shared" si="1"/>
        <v>2025-03</v>
      </c>
    </row>
    <row r="14" spans="1:8" x14ac:dyDescent="0.25">
      <c r="A14" s="1">
        <v>45669</v>
      </c>
      <c r="B14" t="s">
        <v>17</v>
      </c>
      <c r="C14" t="s">
        <v>18</v>
      </c>
      <c r="D14" t="s">
        <v>9</v>
      </c>
      <c r="E14">
        <v>2</v>
      </c>
      <c r="F14" s="2">
        <v>800</v>
      </c>
      <c r="G14" s="2">
        <f t="shared" si="0"/>
        <v>1600</v>
      </c>
      <c r="H14" t="str">
        <f t="shared" si="1"/>
        <v>2025-01</v>
      </c>
    </row>
    <row r="15" spans="1:8" x14ac:dyDescent="0.25">
      <c r="A15" s="1">
        <v>45665</v>
      </c>
      <c r="B15" t="s">
        <v>12</v>
      </c>
      <c r="C15" t="s">
        <v>13</v>
      </c>
      <c r="D15" t="s">
        <v>9</v>
      </c>
      <c r="E15">
        <v>1</v>
      </c>
      <c r="F15" s="2">
        <v>3500</v>
      </c>
      <c r="G15" s="2">
        <f t="shared" si="0"/>
        <v>3500</v>
      </c>
      <c r="H15" t="str">
        <f t="shared" si="1"/>
        <v>2025-01</v>
      </c>
    </row>
    <row r="16" spans="1:8" x14ac:dyDescent="0.25">
      <c r="A16" s="1">
        <v>45730</v>
      </c>
      <c r="B16" t="s">
        <v>23</v>
      </c>
      <c r="C16" t="s">
        <v>8</v>
      </c>
      <c r="D16" t="s">
        <v>22</v>
      </c>
      <c r="E16">
        <v>1</v>
      </c>
      <c r="F16" s="2">
        <v>220</v>
      </c>
      <c r="G16" s="2">
        <f t="shared" si="0"/>
        <v>220</v>
      </c>
      <c r="H16" t="str">
        <f t="shared" si="1"/>
        <v>2025-03</v>
      </c>
    </row>
    <row r="17" spans="1:8" x14ac:dyDescent="0.25">
      <c r="A17" s="1">
        <v>45762</v>
      </c>
      <c r="B17" t="s">
        <v>12</v>
      </c>
      <c r="C17" t="s">
        <v>13</v>
      </c>
      <c r="D17" t="s">
        <v>9</v>
      </c>
      <c r="E17">
        <v>1</v>
      </c>
      <c r="F17" s="2">
        <v>3550</v>
      </c>
      <c r="G17" s="2">
        <f t="shared" si="0"/>
        <v>3550</v>
      </c>
      <c r="H17" t="str">
        <f t="shared" si="1"/>
        <v>2025-04</v>
      </c>
    </row>
    <row r="18" spans="1:8" x14ac:dyDescent="0.25">
      <c r="A18" s="1">
        <v>45750</v>
      </c>
      <c r="B18" t="s">
        <v>17</v>
      </c>
      <c r="C18" t="s">
        <v>18</v>
      </c>
      <c r="D18" t="s">
        <v>11</v>
      </c>
      <c r="E18">
        <v>2</v>
      </c>
      <c r="F18" s="2">
        <v>800</v>
      </c>
      <c r="G18" s="2">
        <f t="shared" si="0"/>
        <v>1600</v>
      </c>
      <c r="H18" t="str">
        <f t="shared" si="1"/>
        <v>2025-04</v>
      </c>
    </row>
    <row r="19" spans="1:8" x14ac:dyDescent="0.25">
      <c r="A19" s="1">
        <v>45755</v>
      </c>
      <c r="B19" t="s">
        <v>14</v>
      </c>
      <c r="C19" t="s">
        <v>15</v>
      </c>
      <c r="D19" t="s">
        <v>19</v>
      </c>
      <c r="E19">
        <v>1</v>
      </c>
      <c r="F19" s="2">
        <v>950</v>
      </c>
      <c r="G19" s="2">
        <f t="shared" si="0"/>
        <v>950</v>
      </c>
      <c r="H19" t="str">
        <f t="shared" si="1"/>
        <v>2025-04</v>
      </c>
    </row>
    <row r="20" spans="1:8" x14ac:dyDescent="0.25">
      <c r="A20" s="1">
        <v>45757</v>
      </c>
      <c r="B20" t="s">
        <v>20</v>
      </c>
      <c r="C20" t="s">
        <v>21</v>
      </c>
      <c r="D20" t="s">
        <v>16</v>
      </c>
      <c r="E20">
        <v>2</v>
      </c>
      <c r="F20" s="2">
        <v>180</v>
      </c>
      <c r="G20" s="2">
        <f t="shared" si="0"/>
        <v>360</v>
      </c>
      <c r="H20" t="str">
        <f t="shared" si="1"/>
        <v>2025-04</v>
      </c>
    </row>
    <row r="21" spans="1:8" x14ac:dyDescent="0.25">
      <c r="A21" s="1">
        <v>45726</v>
      </c>
      <c r="B21" t="s">
        <v>12</v>
      </c>
      <c r="C21" t="s">
        <v>13</v>
      </c>
      <c r="D21" t="s">
        <v>9</v>
      </c>
      <c r="E21">
        <v>1</v>
      </c>
      <c r="F21" s="2">
        <v>3600</v>
      </c>
      <c r="G21" s="2">
        <f t="shared" si="0"/>
        <v>3600</v>
      </c>
      <c r="H21" t="str">
        <f t="shared" si="1"/>
        <v>2025-03</v>
      </c>
    </row>
    <row r="22" spans="1:8" x14ac:dyDescent="0.25">
      <c r="G22" s="2">
        <f>SUM(G2:G21)</f>
        <v>24130</v>
      </c>
    </row>
    <row r="23" spans="1:8" x14ac:dyDescent="0.25">
      <c r="F2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F803-1B5E-4952-8F23-480F6552A834}">
  <dimension ref="A2:M44"/>
  <sheetViews>
    <sheetView topLeftCell="A6" zoomScale="90" zoomScaleNormal="90" workbookViewId="0">
      <selection activeCell="E13" sqref="E13"/>
    </sheetView>
  </sheetViews>
  <sheetFormatPr defaultRowHeight="15" x14ac:dyDescent="0.25"/>
  <cols>
    <col min="1" max="1" width="18.42578125" bestFit="1" customWidth="1"/>
    <col min="2" max="2" width="27.140625" bestFit="1" customWidth="1"/>
    <col min="3" max="3" width="10.42578125" customWidth="1"/>
    <col min="4" max="4" width="18.42578125" bestFit="1" customWidth="1"/>
    <col min="5" max="5" width="20.85546875" bestFit="1" customWidth="1"/>
    <col min="7" max="7" width="18.42578125" bestFit="1" customWidth="1"/>
    <col min="8" max="8" width="27.140625" bestFit="1" customWidth="1"/>
    <col min="10" max="10" width="18.42578125" bestFit="1" customWidth="1"/>
    <col min="11" max="11" width="20.85546875" bestFit="1" customWidth="1"/>
    <col min="12" max="12" width="18.42578125" bestFit="1" customWidth="1"/>
    <col min="13" max="14" width="20.85546875" bestFit="1" customWidth="1"/>
  </cols>
  <sheetData>
    <row r="2" spans="1:13" ht="15.75" x14ac:dyDescent="0.25">
      <c r="A2" s="6" t="s">
        <v>34</v>
      </c>
      <c r="B2" s="6"/>
      <c r="G2" s="6" t="s">
        <v>35</v>
      </c>
      <c r="H2" s="6"/>
      <c r="L2" s="6" t="s">
        <v>38</v>
      </c>
      <c r="M2" s="6"/>
    </row>
    <row r="3" spans="1:13" x14ac:dyDescent="0.25">
      <c r="A3" s="3" t="s">
        <v>25</v>
      </c>
      <c r="B3" t="s">
        <v>28</v>
      </c>
      <c r="G3" s="3" t="s">
        <v>25</v>
      </c>
      <c r="H3" t="s">
        <v>27</v>
      </c>
      <c r="L3" s="3" t="s">
        <v>25</v>
      </c>
      <c r="M3" t="s">
        <v>27</v>
      </c>
    </row>
    <row r="4" spans="1:13" x14ac:dyDescent="0.25">
      <c r="A4" s="4" t="s">
        <v>7</v>
      </c>
      <c r="B4">
        <v>7</v>
      </c>
      <c r="G4" s="4" t="s">
        <v>13</v>
      </c>
      <c r="H4" s="2">
        <v>14050</v>
      </c>
      <c r="L4" s="4" t="s">
        <v>12</v>
      </c>
      <c r="M4" s="2">
        <v>14050</v>
      </c>
    </row>
    <row r="5" spans="1:13" x14ac:dyDescent="0.25">
      <c r="A5" s="4" t="s">
        <v>20</v>
      </c>
      <c r="B5">
        <v>6</v>
      </c>
      <c r="G5" s="4" t="s">
        <v>18</v>
      </c>
      <c r="H5" s="2">
        <v>4000</v>
      </c>
      <c r="L5" s="4" t="s">
        <v>17</v>
      </c>
      <c r="M5" s="2">
        <v>4000</v>
      </c>
    </row>
    <row r="6" spans="1:13" x14ac:dyDescent="0.25">
      <c r="A6" s="4" t="s">
        <v>17</v>
      </c>
      <c r="B6">
        <v>5</v>
      </c>
      <c r="G6" s="4" t="s">
        <v>15</v>
      </c>
      <c r="H6" s="2">
        <v>2750</v>
      </c>
      <c r="L6" s="4" t="s">
        <v>14</v>
      </c>
      <c r="M6" s="2">
        <v>2750</v>
      </c>
    </row>
    <row r="7" spans="1:13" x14ac:dyDescent="0.25">
      <c r="A7" s="4" t="s">
        <v>12</v>
      </c>
      <c r="B7">
        <v>4</v>
      </c>
      <c r="G7" s="4" t="s">
        <v>8</v>
      </c>
      <c r="H7" s="2">
        <v>2250</v>
      </c>
      <c r="L7" s="4" t="s">
        <v>20</v>
      </c>
      <c r="M7" s="2">
        <v>1080</v>
      </c>
    </row>
    <row r="8" spans="1:13" x14ac:dyDescent="0.25">
      <c r="A8" s="4" t="s">
        <v>10</v>
      </c>
      <c r="B8">
        <v>3</v>
      </c>
      <c r="G8" s="4" t="s">
        <v>21</v>
      </c>
      <c r="H8" s="2">
        <v>1080</v>
      </c>
      <c r="L8" s="4" t="s">
        <v>7</v>
      </c>
      <c r="M8" s="2">
        <v>840</v>
      </c>
    </row>
    <row r="9" spans="1:13" x14ac:dyDescent="0.25">
      <c r="A9" s="4" t="s">
        <v>23</v>
      </c>
      <c r="B9">
        <v>3</v>
      </c>
      <c r="C9" s="5"/>
      <c r="G9" s="4" t="s">
        <v>26</v>
      </c>
      <c r="H9" s="2">
        <v>24130</v>
      </c>
      <c r="L9" s="4" t="s">
        <v>10</v>
      </c>
      <c r="M9" s="2">
        <v>750</v>
      </c>
    </row>
    <row r="10" spans="1:13" x14ac:dyDescent="0.25">
      <c r="A10" s="4" t="s">
        <v>14</v>
      </c>
      <c r="B10">
        <v>3</v>
      </c>
      <c r="L10" s="4" t="s">
        <v>23</v>
      </c>
      <c r="M10" s="2">
        <v>660</v>
      </c>
    </row>
    <row r="11" spans="1:13" x14ac:dyDescent="0.25">
      <c r="A11" s="4" t="s">
        <v>26</v>
      </c>
      <c r="B11">
        <v>31</v>
      </c>
      <c r="L11" s="4" t="s">
        <v>26</v>
      </c>
      <c r="M11" s="2">
        <v>24130</v>
      </c>
    </row>
    <row r="37" spans="1:8" ht="15.75" x14ac:dyDescent="0.25">
      <c r="A37" s="6" t="s">
        <v>36</v>
      </c>
      <c r="B37" s="6"/>
    </row>
    <row r="38" spans="1:8" ht="15.75" x14ac:dyDescent="0.25">
      <c r="A38" s="3" t="s">
        <v>25</v>
      </c>
      <c r="B38" t="s">
        <v>27</v>
      </c>
      <c r="G38" s="6" t="s">
        <v>37</v>
      </c>
      <c r="H38" s="6"/>
    </row>
    <row r="39" spans="1:8" x14ac:dyDescent="0.25">
      <c r="A39" s="4" t="s">
        <v>9</v>
      </c>
      <c r="B39" s="2">
        <v>14090</v>
      </c>
      <c r="G39" s="3" t="s">
        <v>25</v>
      </c>
      <c r="H39" t="s">
        <v>27</v>
      </c>
    </row>
    <row r="40" spans="1:8" x14ac:dyDescent="0.25">
      <c r="A40" s="4" t="s">
        <v>22</v>
      </c>
      <c r="B40" s="2">
        <v>3620</v>
      </c>
      <c r="G40" s="4" t="s">
        <v>33</v>
      </c>
      <c r="H40" s="2">
        <v>6940</v>
      </c>
    </row>
    <row r="41" spans="1:8" x14ac:dyDescent="0.25">
      <c r="A41" s="4" t="s">
        <v>11</v>
      </c>
      <c r="B41" s="2">
        <v>3290</v>
      </c>
      <c r="G41" s="4" t="s">
        <v>30</v>
      </c>
      <c r="H41" s="2">
        <v>6490</v>
      </c>
    </row>
    <row r="42" spans="1:8" x14ac:dyDescent="0.25">
      <c r="A42" s="4" t="s">
        <v>16</v>
      </c>
      <c r="B42" s="2">
        <v>2060</v>
      </c>
      <c r="G42" s="4" t="s">
        <v>32</v>
      </c>
      <c r="H42" s="2">
        <v>5400</v>
      </c>
    </row>
    <row r="43" spans="1:8" x14ac:dyDescent="0.25">
      <c r="A43" s="4" t="s">
        <v>19</v>
      </c>
      <c r="B43" s="2">
        <v>1070</v>
      </c>
      <c r="G43" s="4" t="s">
        <v>31</v>
      </c>
      <c r="H43" s="2">
        <v>5300</v>
      </c>
    </row>
    <row r="44" spans="1:8" x14ac:dyDescent="0.25">
      <c r="A44" s="4" t="s">
        <v>26</v>
      </c>
      <c r="B44" s="2">
        <v>24130</v>
      </c>
      <c r="G44" s="4" t="s">
        <v>26</v>
      </c>
      <c r="H44" s="2">
        <v>24130</v>
      </c>
    </row>
  </sheetData>
  <mergeCells count="5">
    <mergeCell ref="A2:B2"/>
    <mergeCell ref="A37:B37"/>
    <mergeCell ref="G38:H38"/>
    <mergeCell ref="L2:M2"/>
    <mergeCell ref="G2:H2"/>
  </mergeCells>
  <pageMargins left="0.511811024" right="0.511811024" top="0.78740157499999996" bottom="0.78740157499999996" header="0.31496062000000002" footer="0.31496062000000002"/>
  <pageSetup paperSize="9"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D6CE-8D48-4B32-90CB-F245A598000B}">
  <dimension ref="A22:H89"/>
  <sheetViews>
    <sheetView tabSelected="1" view="pageBreakPreview" topLeftCell="A31" zoomScale="90" zoomScaleNormal="100" zoomScaleSheetLayoutView="90" workbookViewId="0">
      <selection activeCell="K79" sqref="K79"/>
    </sheetView>
  </sheetViews>
  <sheetFormatPr defaultRowHeight="15" x14ac:dyDescent="0.25"/>
  <sheetData>
    <row r="22" spans="1:8" ht="15" customHeight="1" x14ac:dyDescent="0.25">
      <c r="A22" s="7" t="s">
        <v>39</v>
      </c>
      <c r="B22" s="7"/>
      <c r="C22" s="7"/>
      <c r="D22" s="7"/>
      <c r="E22" s="7"/>
      <c r="F22" s="7"/>
      <c r="G22" s="7"/>
      <c r="H22" s="7"/>
    </row>
    <row r="23" spans="1:8" ht="15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15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15" customHeight="1" x14ac:dyDescent="0.25">
      <c r="A25" s="7"/>
      <c r="B25" s="7"/>
      <c r="C25" s="7"/>
      <c r="D25" s="7"/>
      <c r="E25" s="7"/>
      <c r="F25" s="7"/>
      <c r="G25" s="7"/>
      <c r="H25" s="7"/>
    </row>
    <row r="44" spans="1:8" x14ac:dyDescent="0.25">
      <c r="A44" s="7" t="s">
        <v>40</v>
      </c>
      <c r="B44" s="7"/>
      <c r="C44" s="7"/>
      <c r="D44" s="7"/>
      <c r="E44" s="7"/>
      <c r="F44" s="7"/>
      <c r="G44" s="7"/>
      <c r="H44" s="7"/>
    </row>
    <row r="45" spans="1:8" x14ac:dyDescent="0.25">
      <c r="A45" s="7"/>
      <c r="B45" s="7"/>
      <c r="C45" s="7"/>
      <c r="D45" s="7"/>
      <c r="E45" s="7"/>
      <c r="F45" s="7"/>
      <c r="G45" s="7"/>
      <c r="H45" s="7"/>
    </row>
    <row r="46" spans="1:8" x14ac:dyDescent="0.25">
      <c r="A46" s="7"/>
      <c r="B46" s="7"/>
      <c r="C46" s="7"/>
      <c r="D46" s="7"/>
      <c r="E46" s="7"/>
      <c r="F46" s="7"/>
      <c r="G46" s="7"/>
      <c r="H46" s="7"/>
    </row>
    <row r="47" spans="1:8" x14ac:dyDescent="0.25">
      <c r="A47" s="7"/>
      <c r="B47" s="7"/>
      <c r="C47" s="7"/>
      <c r="D47" s="7"/>
      <c r="E47" s="7"/>
      <c r="F47" s="7"/>
      <c r="G47" s="7"/>
      <c r="H47" s="7"/>
    </row>
    <row r="66" spans="1:8" x14ac:dyDescent="0.25">
      <c r="A66" s="7" t="s">
        <v>41</v>
      </c>
      <c r="B66" s="7"/>
      <c r="C66" s="7"/>
      <c r="D66" s="7"/>
      <c r="E66" s="7"/>
      <c r="F66" s="7"/>
      <c r="G66" s="7"/>
      <c r="H66" s="7"/>
    </row>
    <row r="67" spans="1:8" x14ac:dyDescent="0.25">
      <c r="A67" s="7"/>
      <c r="B67" s="7"/>
      <c r="C67" s="7"/>
      <c r="D67" s="7"/>
      <c r="E67" s="7"/>
      <c r="F67" s="7"/>
      <c r="G67" s="7"/>
      <c r="H67" s="7"/>
    </row>
    <row r="68" spans="1:8" x14ac:dyDescent="0.25">
      <c r="A68" s="7"/>
      <c r="B68" s="7"/>
      <c r="C68" s="7"/>
      <c r="D68" s="7"/>
      <c r="E68" s="7"/>
      <c r="F68" s="7"/>
      <c r="G68" s="7"/>
      <c r="H68" s="7"/>
    </row>
    <row r="69" spans="1:8" x14ac:dyDescent="0.25">
      <c r="A69" s="7"/>
      <c r="B69" s="7"/>
      <c r="C69" s="7"/>
      <c r="D69" s="7"/>
      <c r="E69" s="7"/>
      <c r="F69" s="7"/>
      <c r="G69" s="7"/>
      <c r="H69" s="7"/>
    </row>
    <row r="86" spans="1:8" x14ac:dyDescent="0.25">
      <c r="A86" s="7" t="s">
        <v>42</v>
      </c>
      <c r="B86" s="7"/>
      <c r="C86" s="7"/>
      <c r="D86" s="7"/>
      <c r="E86" s="7"/>
      <c r="F86" s="7"/>
      <c r="G86" s="7"/>
      <c r="H86" s="7"/>
    </row>
    <row r="87" spans="1:8" x14ac:dyDescent="0.25">
      <c r="A87" s="7"/>
      <c r="B87" s="7"/>
      <c r="C87" s="7"/>
      <c r="D87" s="7"/>
      <c r="E87" s="7"/>
      <c r="F87" s="7"/>
      <c r="G87" s="7"/>
      <c r="H87" s="7"/>
    </row>
    <row r="88" spans="1:8" x14ac:dyDescent="0.25">
      <c r="A88" s="7"/>
      <c r="B88" s="7"/>
      <c r="C88" s="7"/>
      <c r="D88" s="7"/>
      <c r="E88" s="7"/>
      <c r="F88" s="7"/>
      <c r="G88" s="7"/>
      <c r="H88" s="7"/>
    </row>
    <row r="89" spans="1:8" x14ac:dyDescent="0.25">
      <c r="A89" s="7"/>
      <c r="B89" s="7"/>
      <c r="C89" s="7"/>
      <c r="D89" s="7"/>
      <c r="E89" s="7"/>
      <c r="F89" s="7"/>
      <c r="G89" s="7"/>
      <c r="H89" s="7"/>
    </row>
  </sheetData>
  <mergeCells count="4">
    <mergeCell ref="A66:H69"/>
    <mergeCell ref="A86:H89"/>
    <mergeCell ref="A22:H25"/>
    <mergeCell ref="A44:H4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7c218cf9-7188-4e4f-9787-a8019ac003f1}" enabled="1" method="Privileged" siteId="{7e2324c6-6925-427e-b56d-4e6eda167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Dados_brutos</vt:lpstr>
      <vt:lpstr>Dados_limpos</vt:lpstr>
      <vt:lpstr>Analise</vt:lpstr>
      <vt:lpstr>Relatorio</vt:lpstr>
      <vt:lpstr>Relatorio!Area_de_impressao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da Silva Coelho</dc:creator>
  <cp:lastModifiedBy>Israel da Silva Coelho</cp:lastModifiedBy>
  <cp:lastPrinted>2026-03-25T19:22:05Z</cp:lastPrinted>
  <dcterms:created xsi:type="dcterms:W3CDTF">2026-03-24T20:21:49Z</dcterms:created>
  <dcterms:modified xsi:type="dcterms:W3CDTF">2026-03-25T20:09:33Z</dcterms:modified>
</cp:coreProperties>
</file>